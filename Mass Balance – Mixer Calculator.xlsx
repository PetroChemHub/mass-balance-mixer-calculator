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er Calculator" sheetId="1" r:id="rId5"/>
  </sheets>
  <definedNames/>
  <calcPr/>
</workbook>
</file>

<file path=xl/sharedStrings.xml><?xml version="1.0" encoding="utf-8"?>
<sst xmlns="http://schemas.openxmlformats.org/spreadsheetml/2006/main" count="45" uniqueCount="33">
  <si>
    <t>MASS BALANCE TOOL — TWO-STREAM MIXER</t>
  </si>
  <si>
    <t>How to Use</t>
  </si>
  <si>
    <t>Enter the total mass flow rate and solute mass fraction for each inlet stream. The spreadsheet automatically calculates the outlet flow rate, outlet composition, and mass-balance checks.</t>
  </si>
  <si>
    <t>INPUTS</t>
  </si>
  <si>
    <t>Stream 1</t>
  </si>
  <si>
    <t>Stream 2</t>
  </si>
  <si>
    <t>Units</t>
  </si>
  <si>
    <t>Total mass flow rate</t>
  </si>
  <si>
    <t>kg/h</t>
  </si>
  <si>
    <t>Solute mass fraction</t>
  </si>
  <si>
    <t>kg solute/kg stream</t>
  </si>
  <si>
    <t>Solvent mass fraction</t>
  </si>
  <si>
    <t>kg solvent/kg stream</t>
  </si>
  <si>
    <t>CALCULATED RESULTS</t>
  </si>
  <si>
    <t>Column 2</t>
  </si>
  <si>
    <t>Column 3</t>
  </si>
  <si>
    <t>Outlet mass flow rate</t>
  </si>
  <si>
    <t>Solute flow in Stream 1</t>
  </si>
  <si>
    <t>Solute flow in Stream 2</t>
  </si>
  <si>
    <t>Total outlet solute flow</t>
  </si>
  <si>
    <t>Outlet solute mass fraction</t>
  </si>
  <si>
    <t>Outlet solvent flow</t>
  </si>
  <si>
    <t>Outlet solvent mass fraction</t>
  </si>
  <si>
    <t>Balance Check</t>
  </si>
  <si>
    <t>Total mass residual</t>
  </si>
  <si>
    <t>Solute residual</t>
  </si>
  <si>
    <t>Solvent residual</t>
  </si>
  <si>
    <t>Outlet fractions sum</t>
  </si>
  <si>
    <t>fraction</t>
  </si>
  <si>
    <t>Assumptions and Limitations</t>
  </si>
  <si>
    <t xml:space="preserve">- The mixer operates under steady-state conditions.
- No chemical reaction occurs during mixing.
- Both streams mix completely and form a uniform outlet stream.
- Mass is conserved, with no accumulation or losses.
- Solute and solvent mass fractions in each input stream sum to 1.
- All mass flow rates are expressed in kg/h.
</t>
  </si>
  <si>
    <t>Note</t>
  </si>
  <si>
    <t>This calculator is intended for educational purposes and assumes a simple, non-reactive mixing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</si>
</sst>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6.0"/>
      <color rgb="FFFFFFFF"/>
      <name val="Montserrat"/>
    </font>
    <font>
      <color theme="1"/>
      <name val="Nunito"/>
    </font>
    <font>
      <b/>
      <sz val="12.0"/>
      <color rgb="FFFFFFFF"/>
      <name val="Nunito"/>
    </font>
    <font>
      <sz val="12.0"/>
      <color theme="1"/>
      <name val="Lexend"/>
    </font>
    <font>
      <b/>
      <color theme="1"/>
      <name val="Nunito"/>
    </font>
    <font>
      <b/>
      <sz val="12.0"/>
      <color rgb="FF4A568D"/>
      <name val="Nunito"/>
    </font>
    <font>
      <b/>
      <sz val="10.0"/>
      <color rgb="FFFFFFFF"/>
      <name val="Nunito"/>
    </font>
    <font>
      <color rgb="FF356854"/>
      <name val="Nunito"/>
    </font>
    <font>
      <b/>
      <sz val="10.0"/>
      <color theme="1"/>
      <name val="Nunito"/>
    </font>
    <font>
      <b/>
      <sz val="13.0"/>
      <color rgb="FFFFFFFF"/>
      <name val="Nunito"/>
    </font>
    <font>
      <color theme="1"/>
      <name val="Lexend"/>
    </font>
    <font>
      <i/>
      <color theme="1"/>
      <name val="Nunito"/>
    </font>
  </fonts>
  <fills count="4">
    <fill>
      <patternFill patternType="none"/>
    </fill>
    <fill>
      <patternFill patternType="lightGray"/>
    </fill>
    <fill>
      <patternFill patternType="solid">
        <fgColor rgb="FF4A568D"/>
        <bgColor rgb="FF4A568D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 shrinkToFit="0" wrapText="1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6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2" fontId="10" numFmtId="0" xfId="0" applyAlignment="1" applyFill="1" applyFont="1">
      <alignment readingOrder="0" shrinkToFit="0" wrapText="1"/>
    </xf>
    <xf borderId="0" fillId="3" fontId="11" numFmtId="0" xfId="0" applyAlignment="1" applyFill="1" applyFont="1">
      <alignment readingOrder="0" shrinkToFit="0" wrapText="1"/>
    </xf>
    <xf borderId="0" fillId="2" fontId="7" numFmtId="0" xfId="0" applyAlignment="1" applyFill="1" applyFont="1">
      <alignment readingOrder="0"/>
    </xf>
    <xf borderId="0" fillId="3" fontId="12" numFmtId="0" xfId="0" applyAlignment="1" applyFill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Mixer Calculator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Mixer Calculator-style 2">
      <tableStyleElement dxfId="1" type="headerRow"/>
      <tableStyleElement dxfId="2" type="firstRowStripe"/>
      <tableStyleElement dxfId="4" type="secondRowStripe"/>
      <tableStyleElement dxfId="3" size="0" type="wholeTable"/>
    </tableStyle>
    <tableStyle count="4" pivot="0" name="Mixer Calculator-style 3">
      <tableStyleElement dxfId="1" type="headerRow"/>
      <tableStyleElement dxfId="2" type="firstRowStripe"/>
      <tableStyleElement dxfId="4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6" displayName="Inputs" name="Inputs" id="1">
  <tableColumns count="4">
    <tableColumn name="INPUTS" id="1"/>
    <tableColumn name="Stream 1" id="2"/>
    <tableColumn name="Stream 2" id="3"/>
    <tableColumn name="Units" id="4"/>
  </tableColumns>
  <tableStyleInfo name="Mixer Calculator-style" showColumnStripes="0" showFirstColumn="1" showLastColumn="1" showRowStripes="1"/>
</table>
</file>

<file path=xl/tables/table2.xml><?xml version="1.0" encoding="utf-8"?>
<table xmlns="http://schemas.openxmlformats.org/spreadsheetml/2006/main" ref="A8:C15" displayName="Outputs" name="Outputs" id="2">
  <tableColumns count="3">
    <tableColumn name="CALCULATED RESULTS" id="1"/>
    <tableColumn name="Column 2" id="2"/>
    <tableColumn name="Column 3" id="3"/>
  </tableColumns>
  <tableStyleInfo name="Mixer Calculator-style 2" showColumnStripes="0" showFirstColumn="1" showLastColumn="1" showRowStripes="1"/>
</table>
</file>

<file path=xl/tables/table3.xml><?xml version="1.0" encoding="utf-8"?>
<table xmlns="http://schemas.openxmlformats.org/spreadsheetml/2006/main" ref="A17:C21" displayName="Check" name="Check" id="3">
  <tableColumns count="3">
    <tableColumn name="Balance Check" id="1"/>
    <tableColumn name="Column 2" id="2"/>
    <tableColumn name="Column 3" id="3"/>
  </tableColumns>
  <tableStyleInfo name="Mixer Calculator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3" max="3" width="17.38"/>
    <col customWidth="1" min="4" max="4" width="17.88"/>
    <col customWidth="1" min="5" max="5" width="4.63"/>
    <col customWidth="1" min="8" max="8" width="46.75"/>
  </cols>
  <sheetData>
    <row r="1">
      <c r="A1" s="1" t="s">
        <v>0</v>
      </c>
      <c r="E1" s="2"/>
      <c r="F1" s="3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4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5" t="s">
        <v>3</v>
      </c>
      <c r="B3" s="5" t="s">
        <v>4</v>
      </c>
      <c r="C3" s="5" t="s">
        <v>5</v>
      </c>
      <c r="D3" s="5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6" t="s">
        <v>7</v>
      </c>
      <c r="B4" s="7">
        <v>200.0</v>
      </c>
      <c r="C4" s="7">
        <v>50.0</v>
      </c>
      <c r="D4" s="6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6" t="s">
        <v>9</v>
      </c>
      <c r="B5" s="6">
        <v>0.4</v>
      </c>
      <c r="C5" s="6">
        <v>0.1</v>
      </c>
      <c r="D5" s="6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6" t="s">
        <v>11</v>
      </c>
      <c r="B6" s="8">
        <f t="shared" ref="B6:C6" si="1">1-B5</f>
        <v>0.6</v>
      </c>
      <c r="C6" s="8">
        <f t="shared" si="1"/>
        <v>0.9</v>
      </c>
      <c r="D6" s="6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9" t="s">
        <v>13</v>
      </c>
      <c r="B8" s="10" t="s">
        <v>14</v>
      </c>
      <c r="C8" s="11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6" t="s">
        <v>16</v>
      </c>
      <c r="B9" s="8">
        <f>SUM(B4:C4)</f>
        <v>250</v>
      </c>
      <c r="C9" s="6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6" t="s">
        <v>17</v>
      </c>
      <c r="B10" s="8">
        <f>B4*B5</f>
        <v>80</v>
      </c>
      <c r="C10" s="6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6" t="s">
        <v>18</v>
      </c>
      <c r="B11" s="8">
        <f>C4*C5</f>
        <v>5</v>
      </c>
      <c r="C11" s="6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6" t="s">
        <v>19</v>
      </c>
      <c r="B12" s="8">
        <f>SUM(B10:B11)</f>
        <v>85</v>
      </c>
      <c r="C12" s="6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6" t="s">
        <v>20</v>
      </c>
      <c r="B13" s="8">
        <f>B12/B9</f>
        <v>0.34</v>
      </c>
      <c r="C13" s="6" t="s">
        <v>10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6" t="s">
        <v>21</v>
      </c>
      <c r="B14" s="8">
        <f>B9-B12</f>
        <v>165</v>
      </c>
      <c r="C14" s="6" t="s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6" t="s">
        <v>22</v>
      </c>
      <c r="B15" s="8">
        <f>B14/B9</f>
        <v>0.66</v>
      </c>
      <c r="C15" s="6" t="s">
        <v>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12" t="s">
        <v>23</v>
      </c>
      <c r="B17" s="10" t="s">
        <v>14</v>
      </c>
      <c r="C17" s="11" t="s">
        <v>15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6" t="s">
        <v>24</v>
      </c>
      <c r="B18" s="8">
        <f>SUM(B4:C4)-B9</f>
        <v>0</v>
      </c>
      <c r="C18" s="6" t="s">
        <v>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6" t="s">
        <v>25</v>
      </c>
      <c r="B19" s="8">
        <f>SUM(B10:B11)-B12</f>
        <v>0</v>
      </c>
      <c r="C19" s="6" t="s">
        <v>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6" t="s">
        <v>26</v>
      </c>
      <c r="B20" s="8">
        <f>B9-B12-B14</f>
        <v>0</v>
      </c>
      <c r="C20" s="6" t="s">
        <v>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6" t="s">
        <v>27</v>
      </c>
      <c r="B21" s="8">
        <f>B13+B15</f>
        <v>1</v>
      </c>
      <c r="C21" s="6" t="s">
        <v>28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29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4" t="s">
        <v>30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 t="s">
        <v>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6" t="s">
        <v>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7">
    <mergeCell ref="A1:D1"/>
    <mergeCell ref="F1:H1"/>
    <mergeCell ref="F2:H2"/>
    <mergeCell ref="A23:C23"/>
    <mergeCell ref="A24:C24"/>
    <mergeCell ref="A26:C26"/>
    <mergeCell ref="A27:C27"/>
  </mergeCells>
  <drawing r:id="rId1"/>
  <tableParts count="3">
    <tablePart r:id="rId5"/>
    <tablePart r:id="rId6"/>
    <tablePart r:id="rId7"/>
  </tableParts>
</worksheet>
</file>